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 Davi\Downloads\"/>
    </mc:Choice>
  </mc:AlternateContent>
  <xr:revisionPtr revIDLastSave="0" documentId="13_ncr:1_{88291B0B-4C9B-4234-9CFB-05A77B529717}" xr6:coauthVersionLast="47" xr6:coauthVersionMax="47" xr10:uidLastSave="{00000000-0000-0000-0000-000000000000}"/>
  <bookViews>
    <workbookView xWindow="-120" yWindow="-120" windowWidth="26640" windowHeight="14370" tabRatio="259" xr2:uid="{5C86A60E-0787-4AFA-80BC-B8BD66E11A75}"/>
  </bookViews>
  <sheets>
    <sheet name="Planilha1" sheetId="1" r:id="rId1"/>
    <sheet name="Planilha2" sheetId="2" r:id="rId2"/>
  </sheets>
  <definedNames>
    <definedName name="Aporte">Planilha1!$D$18</definedName>
    <definedName name="DividendoMensal">Planilha1!$D$25</definedName>
    <definedName name="PatrimonioAcumulado">Planilha1!$D$22</definedName>
    <definedName name="PrecoMedioCompra">Planilha1!#REF!</definedName>
    <definedName name="PrecoVenda">Planilha1!#REF!</definedName>
    <definedName name="QntdAnos">Planilha1!$D$19</definedName>
    <definedName name="QntdFIIsComprado">Planilha1!$D$16</definedName>
    <definedName name="QntdFIIsVend">Planilha1!#REF!</definedName>
    <definedName name="RendimentoCarteira">Planilha1!$D$13</definedName>
    <definedName name="Salario">Planilha1!$D$12</definedName>
    <definedName name="SugestaoInvestimento">Planilha1!$D$14</definedName>
    <definedName name="TaxaRendMensal">Planilha1!$D$20</definedName>
    <definedName name="TotalCompradoFIIs">Planilha1!#REF!</definedName>
    <definedName name="TotalVendidoFIIs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C29" i="1"/>
  <c r="D14" i="1"/>
  <c r="D22" i="1"/>
  <c r="D25" i="1" s="1"/>
  <c r="C41" i="1"/>
  <c r="C42" i="1"/>
  <c r="C43" i="1"/>
  <c r="C44" i="1"/>
  <c r="C45" i="1"/>
  <c r="C40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D37" i="1"/>
  <c r="C33" i="1"/>
  <c r="D33" i="1" s="1"/>
  <c r="C30" i="1"/>
  <c r="D30" i="1" s="1"/>
  <c r="C31" i="1"/>
  <c r="D31" i="1" s="1"/>
  <c r="C32" i="1"/>
  <c r="D32" i="1" s="1"/>
  <c r="D29" i="1"/>
  <c r="D40" i="1" l="1"/>
  <c r="D45" i="1"/>
  <c r="D44" i="1"/>
  <c r="D43" i="1"/>
  <c r="D42" i="1"/>
  <c r="D41" i="1"/>
  <c r="D46" i="1" l="1"/>
</calcChain>
</file>

<file path=xl/sharedStrings.xml><?xml version="1.0" encoding="utf-8"?>
<sst xmlns="http://schemas.openxmlformats.org/spreadsheetml/2006/main" count="72" uniqueCount="37">
  <si>
    <t>INVESTIMENTO MENSAL</t>
  </si>
  <si>
    <t>Quanto investir por mês?</t>
  </si>
  <si>
    <t>Quanto em 2 anos?</t>
  </si>
  <si>
    <t>Quanto em 5 anos?</t>
  </si>
  <si>
    <t>Quanto em 10 anos?</t>
  </si>
  <si>
    <t>Quanto em 20 anos?</t>
  </si>
  <si>
    <t>Quanto em 30 anos?</t>
  </si>
  <si>
    <t>Salário</t>
  </si>
  <si>
    <t>Rendimento Carteira</t>
  </si>
  <si>
    <t>Sugestão de Investimento</t>
  </si>
  <si>
    <t>CONFIGURAÇÕES</t>
  </si>
  <si>
    <t>CENÁRIOS</t>
  </si>
  <si>
    <t>DIVIDENDO</t>
  </si>
  <si>
    <t>Dividendo Mensal</t>
  </si>
  <si>
    <t>Rendimento Mensal</t>
  </si>
  <si>
    <t>Quantos Anos?</t>
  </si>
  <si>
    <t>Patrimonio Bruto Acumulado Final</t>
  </si>
  <si>
    <t>Perfil</t>
  </si>
  <si>
    <t>Agressivo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</si>
  <si>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</si>
  <si>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</si>
  <si>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</si>
  <si>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</si>
  <si>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</si>
  <si>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</si>
  <si>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</si>
  <si>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</si>
  <si>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</si>
  <si>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</si>
  <si>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</si>
  <si>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PERFIL</t>
  </si>
  <si>
    <t>Conservador</t>
  </si>
  <si>
    <t>PERCENTUAL</t>
  </si>
  <si>
    <t>CHAVE</t>
  </si>
  <si>
    <t>Imposto de Renda</t>
  </si>
  <si>
    <t>Patrimonio Liquido Acumulado Final</t>
  </si>
  <si>
    <t>Total de Rendimento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</si>
</sst>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  <numFmt numFmtId="165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0"/>
      <name val="SauceCodePro NF"/>
      <family val="3"/>
    </font>
    <font>
      <b/>
      <sz val="18"/>
      <color theme="0"/>
      <name val="SauceCodePro NF"/>
      <family val="3"/>
    </font>
    <font>
      <sz val="13"/>
      <color theme="1"/>
      <name val="RobotoMono Nerd Font"/>
      <family val="3"/>
    </font>
    <font>
      <b/>
      <sz val="11"/>
      <color theme="1"/>
      <name val="RobotoMono Nerd Font Mono"/>
      <family val="3"/>
    </font>
    <font>
      <sz val="11"/>
      <color theme="1"/>
      <name val="RobotoMono Nerd Font"/>
      <family val="3"/>
    </font>
    <font>
      <b/>
      <sz val="11"/>
      <color theme="1"/>
      <name val="RobotoMono Nerd Font"/>
      <family val="3"/>
    </font>
    <font>
      <i/>
      <sz val="13"/>
      <color theme="1"/>
      <name val="RobotoMono Nerd Font"/>
      <family val="3"/>
    </font>
    <font>
      <b/>
      <i/>
      <sz val="13"/>
      <color theme="1"/>
      <name val="RobotoMono Nerd Font"/>
      <family val="3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medium">
        <color indexed="64"/>
      </left>
      <right style="dashed">
        <color theme="0" tint="-0.34998626667073579"/>
      </right>
      <top style="medium">
        <color indexed="64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medium">
        <color indexed="64"/>
      </right>
      <top style="medium">
        <color indexed="64"/>
      </top>
      <bottom style="dashed">
        <color theme="0" tint="-0.34998626667073579"/>
      </bottom>
      <diagonal/>
    </border>
    <border>
      <left style="medium">
        <color indexed="64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medium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medium">
        <color indexed="64"/>
      </left>
      <right style="dashed">
        <color theme="0" tint="-0.34998626667073579"/>
      </right>
      <top style="dashed">
        <color theme="0" tint="-0.34998626667073579"/>
      </top>
      <bottom style="medium">
        <color indexed="64"/>
      </bottom>
      <diagonal/>
    </border>
    <border>
      <left style="dashed">
        <color theme="0" tint="-0.34998626667073579"/>
      </left>
      <right style="medium">
        <color indexed="64"/>
      </right>
      <top style="dashed">
        <color theme="0" tint="-0.34998626667073579"/>
      </top>
      <bottom style="medium">
        <color indexed="64"/>
      </bottom>
      <diagonal/>
    </border>
    <border>
      <left style="dashed">
        <color theme="0" tint="-0.34998626667073579"/>
      </left>
      <right style="dashed">
        <color theme="0" tint="-0.34998626667073579"/>
      </right>
      <top style="medium">
        <color indexed="64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medium">
        <color indexed="64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indexed="64"/>
      </left>
      <right style="dotted">
        <color theme="0" tint="-0.34998626667073579"/>
      </right>
      <top style="medium">
        <color indexed="64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medium">
        <color indexed="64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medium">
        <color indexed="64"/>
      </right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theme="0" tint="-0.34998626667073579"/>
      </top>
      <bottom style="medium">
        <color indexed="64"/>
      </bottom>
      <diagonal/>
    </border>
    <border>
      <left/>
      <right/>
      <top style="dotted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dashed">
        <color theme="0" tint="-0.34998626667073579"/>
      </left>
      <right style="medium">
        <color indexed="64"/>
      </right>
      <top style="dashed">
        <color theme="0" tint="-0.34998626667073579"/>
      </top>
      <bottom/>
      <diagonal/>
    </border>
    <border>
      <left style="medium">
        <color indexed="64"/>
      </left>
      <right/>
      <top style="dashed">
        <color theme="0" tint="-0.34998626667073579"/>
      </top>
      <bottom style="dash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dashed">
        <color theme="0" tint="-0.34998626667073579"/>
      </bottom>
      <diagonal/>
    </border>
    <border>
      <left/>
      <right style="dashed">
        <color theme="0" tint="-0.34998626667073579"/>
      </right>
      <top style="medium">
        <color indexed="64"/>
      </top>
      <bottom style="dashed">
        <color theme="0" tint="-0.34998626667073579"/>
      </bottom>
      <diagonal/>
    </border>
    <border>
      <left style="medium">
        <color indexed="64"/>
      </left>
      <right/>
      <top style="dashed">
        <color theme="0" tint="-0.34998626667073579"/>
      </top>
      <bottom style="medium">
        <color indexed="64"/>
      </bottom>
      <diagonal/>
    </border>
    <border>
      <left/>
      <right style="dashed">
        <color theme="0" tint="-0.34998626667073579"/>
      </right>
      <top style="dash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7">
    <xf numFmtId="0" fontId="0" fillId="0" borderId="0" xfId="0"/>
    <xf numFmtId="44" fontId="0" fillId="0" borderId="0" xfId="2" applyFont="1"/>
    <xf numFmtId="1" fontId="5" fillId="0" borderId="11" xfId="1" applyNumberFormat="1" applyFont="1" applyBorder="1" applyAlignment="1">
      <alignment vertical="center"/>
    </xf>
    <xf numFmtId="164" fontId="5" fillId="0" borderId="11" xfId="0" applyNumberFormat="1" applyFont="1" applyBorder="1" applyAlignment="1">
      <alignment vertical="center"/>
    </xf>
    <xf numFmtId="44" fontId="7" fillId="0" borderId="9" xfId="2" applyFont="1" applyBorder="1" applyAlignment="1">
      <alignment horizontal="right" vertical="center"/>
    </xf>
    <xf numFmtId="10" fontId="7" fillId="0" borderId="11" xfId="0" applyNumberFormat="1" applyFont="1" applyBorder="1" applyAlignment="1">
      <alignment horizontal="right" vertical="center"/>
    </xf>
    <xf numFmtId="44" fontId="7" fillId="0" borderId="13" xfId="0" applyNumberFormat="1" applyFont="1" applyBorder="1" applyAlignment="1">
      <alignment horizontal="right" vertical="center"/>
    </xf>
    <xf numFmtId="165" fontId="5" fillId="0" borderId="9" xfId="2" applyNumberFormat="1" applyFont="1" applyBorder="1" applyAlignment="1">
      <alignment vertical="center"/>
    </xf>
    <xf numFmtId="165" fontId="5" fillId="3" borderId="11" xfId="0" applyNumberFormat="1" applyFont="1" applyFill="1" applyBorder="1" applyAlignment="1">
      <alignment vertical="center"/>
    </xf>
    <xf numFmtId="165" fontId="5" fillId="3" borderId="13" xfId="0" applyNumberFormat="1" applyFont="1" applyFill="1" applyBorder="1" applyAlignment="1">
      <alignment vertical="center"/>
    </xf>
    <xf numFmtId="44" fontId="5" fillId="5" borderId="14" xfId="2" applyFont="1" applyFill="1" applyBorder="1" applyAlignment="1"/>
    <xf numFmtId="44" fontId="5" fillId="5" borderId="9" xfId="0" applyNumberFormat="1" applyFont="1" applyFill="1" applyBorder="1"/>
    <xf numFmtId="44" fontId="5" fillId="5" borderId="7" xfId="2" applyFont="1" applyFill="1" applyBorder="1" applyAlignment="1"/>
    <xf numFmtId="44" fontId="5" fillId="5" borderId="11" xfId="0" applyNumberFormat="1" applyFont="1" applyFill="1" applyBorder="1"/>
    <xf numFmtId="44" fontId="5" fillId="5" borderId="15" xfId="2" applyFont="1" applyFill="1" applyBorder="1" applyAlignment="1"/>
    <xf numFmtId="44" fontId="5" fillId="5" borderId="13" xfId="0" applyNumberFormat="1" applyFont="1" applyFill="1" applyBorder="1"/>
    <xf numFmtId="0" fontId="8" fillId="5" borderId="8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left"/>
    </xf>
    <xf numFmtId="0" fontId="8" fillId="5" borderId="12" xfId="0" applyFont="1" applyFill="1" applyBorder="1" applyAlignment="1">
      <alignment horizontal="left"/>
    </xf>
    <xf numFmtId="0" fontId="9" fillId="3" borderId="10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9" fontId="6" fillId="0" borderId="0" xfId="0" applyNumberFormat="1" applyFont="1" applyAlignment="1">
      <alignment horizontal="center"/>
    </xf>
    <xf numFmtId="0" fontId="7" fillId="7" borderId="17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44" fontId="6" fillId="5" borderId="5" xfId="2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6" fillId="8" borderId="25" xfId="0" applyFont="1" applyFill="1" applyBorder="1"/>
    <xf numFmtId="0" fontId="6" fillId="8" borderId="26" xfId="0" applyFont="1" applyFill="1" applyBorder="1"/>
    <xf numFmtId="44" fontId="7" fillId="0" borderId="21" xfId="0" applyNumberFormat="1" applyFont="1" applyBorder="1" applyAlignment="1">
      <alignment horizontal="center"/>
    </xf>
    <xf numFmtId="44" fontId="7" fillId="8" borderId="27" xfId="0" applyNumberFormat="1" applyFont="1" applyFill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9" fontId="7" fillId="0" borderId="16" xfId="0" applyNumberFormat="1" applyFont="1" applyBorder="1" applyAlignment="1">
      <alignment horizontal="center" vertical="center"/>
    </xf>
    <xf numFmtId="165" fontId="5" fillId="3" borderId="28" xfId="0" applyNumberFormat="1" applyFont="1" applyFill="1" applyBorder="1" applyAlignment="1">
      <alignment vertical="center"/>
    </xf>
    <xf numFmtId="0" fontId="6" fillId="5" borderId="36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8" fillId="5" borderId="8" xfId="0" applyFont="1" applyFill="1" applyBorder="1" applyAlignment="1">
      <alignment horizontal="left"/>
    </xf>
    <xf numFmtId="0" fontId="8" fillId="5" borderId="14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left"/>
    </xf>
    <xf numFmtId="0" fontId="8" fillId="5" borderId="7" xfId="0" applyFont="1" applyFill="1" applyBorder="1" applyAlignment="1">
      <alignment horizontal="left"/>
    </xf>
    <xf numFmtId="0" fontId="8" fillId="5" borderId="12" xfId="0" applyFont="1" applyFill="1" applyBorder="1" applyAlignment="1">
      <alignment horizontal="left"/>
    </xf>
    <xf numFmtId="0" fontId="8" fillId="5" borderId="15" xfId="0" applyFont="1" applyFill="1" applyBorder="1" applyAlignment="1">
      <alignment horizontal="left"/>
    </xf>
    <xf numFmtId="0" fontId="9" fillId="3" borderId="32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9" fontId="5" fillId="0" borderId="11" xfId="0" applyNumberFormat="1" applyFont="1" applyBorder="1" applyAlignment="1">
      <alignment vertical="center"/>
    </xf>
    <xf numFmtId="0" fontId="9" fillId="3" borderId="29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0</xdr:rowOff>
    </xdr:from>
    <xdr:to>
      <xdr:col>3</xdr:col>
      <xdr:colOff>2375765</xdr:colOff>
      <xdr:row>8</xdr:row>
      <xdr:rowOff>160582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EC4062D-CD7E-1E76-3364-CECA6B730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825" y="0"/>
          <a:ext cx="8157440" cy="1684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4E67-C23C-40FF-8A37-8E07ED21C15B}">
  <dimension ref="A11:J51"/>
  <sheetViews>
    <sheetView showGridLines="0" tabSelected="1" topLeftCell="A11" zoomScale="85" zoomScaleNormal="85" workbookViewId="0">
      <selection activeCell="D19" sqref="D19"/>
    </sheetView>
  </sheetViews>
  <sheetFormatPr defaultColWidth="0" defaultRowHeight="15" x14ac:dyDescent="0.25"/>
  <cols>
    <col min="1" max="1" width="9.140625" customWidth="1"/>
    <col min="2" max="2" width="86" customWidth="1"/>
    <col min="3" max="3" width="50.5703125" customWidth="1"/>
    <col min="4" max="4" width="63.7109375" customWidth="1"/>
    <col min="5" max="5" width="34.42578125" bestFit="1" customWidth="1"/>
    <col min="6" max="6" width="5.5703125" customWidth="1"/>
    <col min="7" max="7" width="3.5703125" customWidth="1"/>
    <col min="8" max="8" width="3.42578125" customWidth="1"/>
    <col min="9" max="9" width="8.28515625" customWidth="1"/>
    <col min="10" max="10" width="9.140625" customWidth="1"/>
    <col min="11" max="16384" width="9.140625" hidden="1"/>
  </cols>
  <sheetData>
    <row r="11" spans="2:4" ht="49.5" customHeight="1" thickBot="1" x14ac:dyDescent="0.3">
      <c r="B11" s="54" t="s">
        <v>10</v>
      </c>
      <c r="C11" s="55"/>
      <c r="D11" s="55"/>
    </row>
    <row r="12" spans="2:4" ht="18.75" x14ac:dyDescent="0.35">
      <c r="B12" s="56" t="s">
        <v>7</v>
      </c>
      <c r="C12" s="57"/>
      <c r="D12" s="4">
        <v>5000</v>
      </c>
    </row>
    <row r="13" spans="2:4" ht="18.75" x14ac:dyDescent="0.35">
      <c r="B13" s="58" t="s">
        <v>8</v>
      </c>
      <c r="C13" s="59"/>
      <c r="D13" s="5">
        <v>0.01</v>
      </c>
    </row>
    <row r="14" spans="2:4" ht="19.5" thickBot="1" x14ac:dyDescent="0.4">
      <c r="B14" s="60" t="s">
        <v>9</v>
      </c>
      <c r="C14" s="61"/>
      <c r="D14" s="6">
        <f>Salario*40%</f>
        <v>2000</v>
      </c>
    </row>
    <row r="17" spans="2:5" ht="48.75" customHeight="1" thickBot="1" x14ac:dyDescent="0.3">
      <c r="B17" s="45" t="s">
        <v>0</v>
      </c>
      <c r="C17" s="46"/>
      <c r="D17" s="47"/>
    </row>
    <row r="18" spans="2:5" ht="18.75" x14ac:dyDescent="0.25">
      <c r="B18" s="48" t="s">
        <v>1</v>
      </c>
      <c r="C18" s="49"/>
      <c r="D18" s="7">
        <v>2000</v>
      </c>
    </row>
    <row r="19" spans="2:5" ht="18.75" x14ac:dyDescent="0.25">
      <c r="B19" s="50" t="s">
        <v>15</v>
      </c>
      <c r="C19" s="51"/>
      <c r="D19" s="2">
        <v>5</v>
      </c>
    </row>
    <row r="20" spans="2:5" ht="18.75" x14ac:dyDescent="0.25">
      <c r="B20" s="50" t="s">
        <v>14</v>
      </c>
      <c r="C20" s="51"/>
      <c r="D20" s="64">
        <v>0.01</v>
      </c>
    </row>
    <row r="21" spans="2:5" ht="18.75" hidden="1" x14ac:dyDescent="0.25">
      <c r="B21" s="50" t="s">
        <v>34</v>
      </c>
      <c r="C21" s="51"/>
      <c r="D21" s="3"/>
    </row>
    <row r="22" spans="2:5" ht="15" hidden="1" customHeight="1" x14ac:dyDescent="0.25">
      <c r="B22" s="19" t="s">
        <v>16</v>
      </c>
      <c r="C22" s="20"/>
      <c r="D22" s="8">
        <f>FV(TaxaRendMensal,QntdAnos*12,Aporte*(-1))</f>
        <v>163339.33971281827</v>
      </c>
    </row>
    <row r="23" spans="2:5" ht="15" hidden="1" customHeight="1" x14ac:dyDescent="0.25">
      <c r="B23" s="19" t="s">
        <v>35</v>
      </c>
      <c r="C23" s="20"/>
      <c r="D23" s="42"/>
    </row>
    <row r="24" spans="2:5" ht="15" customHeight="1" x14ac:dyDescent="0.25">
      <c r="B24" s="65" t="s">
        <v>36</v>
      </c>
      <c r="C24" s="66"/>
      <c r="D24" s="42">
        <f>FV(TaxaRendMensal,QntdAnos*12,Aporte*(-1))</f>
        <v>163339.33971281827</v>
      </c>
    </row>
    <row r="25" spans="2:5" ht="19.5" thickBot="1" x14ac:dyDescent="0.3">
      <c r="B25" s="62" t="s">
        <v>13</v>
      </c>
      <c r="C25" s="63"/>
      <c r="D25" s="9">
        <f>PatrimonioAcumulado*RendimentoCarteira</f>
        <v>1633.3933971281826</v>
      </c>
    </row>
    <row r="27" spans="2:5" ht="16.5" customHeight="1" thickBot="1" x14ac:dyDescent="0.3"/>
    <row r="28" spans="2:5" ht="49.5" customHeight="1" thickBot="1" x14ac:dyDescent="0.3">
      <c r="B28" s="52" t="s">
        <v>11</v>
      </c>
      <c r="C28" s="53"/>
      <c r="D28" s="21" t="s">
        <v>12</v>
      </c>
    </row>
    <row r="29" spans="2:5" ht="16.5" customHeight="1" x14ac:dyDescent="0.35">
      <c r="B29" s="16" t="s">
        <v>2</v>
      </c>
      <c r="C29" s="10">
        <f>FV(TaxaRendMensal,2*12,Aporte*(-1))</f>
        <v>53946.929706382994</v>
      </c>
      <c r="D29" s="11">
        <f>C29*RendimentoCarteira</f>
        <v>539.46929706382991</v>
      </c>
    </row>
    <row r="30" spans="2:5" ht="16.5" customHeight="1" x14ac:dyDescent="0.35">
      <c r="B30" s="17" t="s">
        <v>3</v>
      </c>
      <c r="C30" s="12">
        <f>FV(TaxaRendMensal,5*12,Aporte*(-1))</f>
        <v>163339.33971281827</v>
      </c>
      <c r="D30" s="13">
        <f>C30*$D$13</f>
        <v>1633.3933971281826</v>
      </c>
    </row>
    <row r="31" spans="2:5" ht="16.5" customHeight="1" x14ac:dyDescent="0.35">
      <c r="B31" s="17" t="s">
        <v>4</v>
      </c>
      <c r="C31" s="12">
        <f>FV(TaxaRendMensal,10*12,Aporte*(-1))</f>
        <v>460077.37891473394</v>
      </c>
      <c r="D31" s="13">
        <f>C31*$D$13</f>
        <v>4600.7737891473398</v>
      </c>
      <c r="E31" s="1"/>
    </row>
    <row r="32" spans="2:5" ht="16.5" hidden="1" customHeight="1" x14ac:dyDescent="0.35">
      <c r="B32" s="17" t="s">
        <v>5</v>
      </c>
      <c r="C32" s="12">
        <f>FV(TaxaRendMensal,20*12,Aporte*(-1))</f>
        <v>1978510.730774726</v>
      </c>
      <c r="D32" s="13">
        <f>C32*$D$13</f>
        <v>19785.107307747261</v>
      </c>
    </row>
    <row r="33" spans="2:4" ht="17.25" customHeight="1" thickBot="1" x14ac:dyDescent="0.4">
      <c r="B33" s="18" t="s">
        <v>6</v>
      </c>
      <c r="C33" s="14">
        <f>FV(TaxaRendMensal,30*12,Aporte*(-1))</f>
        <v>6989928.2655370124</v>
      </c>
      <c r="D33" s="15">
        <f>C33*$D$13</f>
        <v>69899.282655370131</v>
      </c>
    </row>
    <row r="35" spans="2:4" ht="15.75" thickBot="1" x14ac:dyDescent="0.3"/>
    <row r="36" spans="2:4" ht="16.5" x14ac:dyDescent="0.25">
      <c r="B36" s="33" t="s">
        <v>17</v>
      </c>
      <c r="C36" s="34"/>
      <c r="D36" s="35" t="s">
        <v>31</v>
      </c>
    </row>
    <row r="37" spans="2:4" ht="17.25" thickBot="1" x14ac:dyDescent="0.3">
      <c r="B37" s="43" t="s">
        <v>20</v>
      </c>
      <c r="C37" s="44"/>
      <c r="D37" s="32">
        <f>Aporte</f>
        <v>2000</v>
      </c>
    </row>
    <row r="38" spans="2:4" ht="17.25" thickBot="1" x14ac:dyDescent="0.3">
      <c r="B38" s="23"/>
      <c r="C38" s="23"/>
      <c r="D38" s="23"/>
    </row>
    <row r="39" spans="2:4" ht="16.5" x14ac:dyDescent="0.25">
      <c r="B39" s="29" t="s">
        <v>21</v>
      </c>
      <c r="C39" s="30" t="s">
        <v>22</v>
      </c>
      <c r="D39" s="31" t="s">
        <v>23</v>
      </c>
    </row>
    <row r="40" spans="2:4" ht="18.75" x14ac:dyDescent="0.3">
      <c r="B40" s="40" t="s">
        <v>24</v>
      </c>
      <c r="C40" s="41">
        <f>VLOOKUP($D$36&amp;" - "&amp;B40,Planilha2!$A:$D,4,)</f>
        <v>0.3</v>
      </c>
      <c r="D40" s="38">
        <f t="shared" ref="D40:D45" si="0">C40*$D$37</f>
        <v>600</v>
      </c>
    </row>
    <row r="41" spans="2:4" ht="18.75" x14ac:dyDescent="0.3">
      <c r="B41" s="40" t="s">
        <v>25</v>
      </c>
      <c r="C41" s="41">
        <f>VLOOKUP($D$36&amp;" - "&amp;B41,Planilha2!$A:$D,4,)</f>
        <v>0.5</v>
      </c>
      <c r="D41" s="38">
        <f t="shared" si="0"/>
        <v>1000</v>
      </c>
    </row>
    <row r="42" spans="2:4" ht="18.75" x14ac:dyDescent="0.3">
      <c r="B42" s="40" t="s">
        <v>26</v>
      </c>
      <c r="C42" s="41">
        <f>VLOOKUP($D$36&amp;" - "&amp;B42,Planilha2!$A:$D,4,)</f>
        <v>0.1</v>
      </c>
      <c r="D42" s="38">
        <f t="shared" si="0"/>
        <v>200</v>
      </c>
    </row>
    <row r="43" spans="2:4" ht="18.75" x14ac:dyDescent="0.3">
      <c r="B43" s="40" t="s">
        <v>27</v>
      </c>
      <c r="C43" s="41">
        <f>VLOOKUP($D$36&amp;" - "&amp;B43,Planilha2!$A:$D,4,)</f>
        <v>0.1</v>
      </c>
      <c r="D43" s="38">
        <f t="shared" si="0"/>
        <v>200</v>
      </c>
    </row>
    <row r="44" spans="2:4" ht="18.75" x14ac:dyDescent="0.3">
      <c r="B44" s="40" t="s">
        <v>28</v>
      </c>
      <c r="C44" s="41">
        <f>VLOOKUP($D$36&amp;" - "&amp;B44,Planilha2!$A:$D,4,)</f>
        <v>0</v>
      </c>
      <c r="D44" s="38">
        <f t="shared" si="0"/>
        <v>0</v>
      </c>
    </row>
    <row r="45" spans="2:4" ht="18.75" x14ac:dyDescent="0.3">
      <c r="B45" s="40" t="s">
        <v>29</v>
      </c>
      <c r="C45" s="41">
        <f>VLOOKUP($D$36&amp;" - "&amp;B45,Planilha2!$A:$D,4,)</f>
        <v>0</v>
      </c>
      <c r="D45" s="38">
        <f t="shared" si="0"/>
        <v>0</v>
      </c>
    </row>
    <row r="46" spans="2:4" ht="17.25" thickBot="1" x14ac:dyDescent="0.35">
      <c r="B46" s="36"/>
      <c r="C46" s="37"/>
      <c r="D46" s="39">
        <f>SUM(D40:D45)</f>
        <v>2000</v>
      </c>
    </row>
    <row r="50" hidden="1" x14ac:dyDescent="0.25"/>
    <row r="51" hidden="1" x14ac:dyDescent="0.25"/>
  </sheetData>
  <mergeCells count="12">
    <mergeCell ref="B28:C28"/>
    <mergeCell ref="B11:D11"/>
    <mergeCell ref="B12:C12"/>
    <mergeCell ref="B13:C13"/>
    <mergeCell ref="B14:C14"/>
    <mergeCell ref="B25:C25"/>
    <mergeCell ref="B24:C24"/>
    <mergeCell ref="B17:D17"/>
    <mergeCell ref="B18:C18"/>
    <mergeCell ref="B19:C19"/>
    <mergeCell ref="B20:C20"/>
    <mergeCell ref="B21:C21"/>
  </mergeCells>
  <dataValidations count="1">
    <dataValidation type="list" allowBlank="1" showInputMessage="1" showErrorMessage="1" errorTitle="Perfil não correspondente" error="Escolha um dos perfis disponiveis na lista." promptTitle="Escolha seu Perfil" sqref="D36" xr:uid="{AA700479-D55A-4EB4-B168-D645908FCC7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05F8-5F3F-4671-B49F-8A7F51C68134}">
  <dimension ref="A2:D26"/>
  <sheetViews>
    <sheetView workbookViewId="0">
      <selection activeCell="D13" sqref="D13"/>
    </sheetView>
  </sheetViews>
  <sheetFormatPr defaultRowHeight="15" x14ac:dyDescent="0.25"/>
  <cols>
    <col min="1" max="1" width="39.5703125" bestFit="1" customWidth="1"/>
    <col min="2" max="2" width="15.5703125" bestFit="1" customWidth="1"/>
    <col min="3" max="3" width="20.85546875" bestFit="1" customWidth="1"/>
    <col min="4" max="4" width="14.28515625" bestFit="1" customWidth="1"/>
  </cols>
  <sheetData>
    <row r="2" spans="1:4" ht="16.5" x14ac:dyDescent="0.3">
      <c r="A2" s="26" t="s">
        <v>33</v>
      </c>
      <c r="B2" s="26" t="s">
        <v>30</v>
      </c>
      <c r="C2" s="25" t="s">
        <v>21</v>
      </c>
      <c r="D2" s="26" t="s">
        <v>32</v>
      </c>
    </row>
    <row r="3" spans="1:4" ht="16.5" x14ac:dyDescent="0.3">
      <c r="A3" s="22" t="str">
        <f>B3&amp;" - "&amp;C3</f>
        <v>Conservador - PAPEL</v>
      </c>
      <c r="B3" s="27" t="s">
        <v>31</v>
      </c>
      <c r="C3" s="23" t="s">
        <v>24</v>
      </c>
      <c r="D3" s="24">
        <v>0.3</v>
      </c>
    </row>
    <row r="4" spans="1:4" ht="16.5" x14ac:dyDescent="0.3">
      <c r="A4" s="22" t="str">
        <f t="shared" ref="A4:A20" si="0">B4&amp;" - "&amp;C4</f>
        <v>Conservador - TIJOLO</v>
      </c>
      <c r="B4" s="27" t="s">
        <v>31</v>
      </c>
      <c r="C4" s="23" t="s">
        <v>25</v>
      </c>
      <c r="D4" s="24">
        <v>0.5</v>
      </c>
    </row>
    <row r="5" spans="1:4" ht="16.5" x14ac:dyDescent="0.3">
      <c r="A5" s="22" t="str">
        <f t="shared" si="0"/>
        <v>Conservador - HIBRIDOS</v>
      </c>
      <c r="B5" s="27" t="s">
        <v>31</v>
      </c>
      <c r="C5" s="23" t="s">
        <v>26</v>
      </c>
      <c r="D5" s="24">
        <v>0.1</v>
      </c>
    </row>
    <row r="6" spans="1:4" ht="16.5" x14ac:dyDescent="0.3">
      <c r="A6" s="22" t="str">
        <f t="shared" si="0"/>
        <v>Conservador - FOFs</v>
      </c>
      <c r="B6" s="27" t="s">
        <v>31</v>
      </c>
      <c r="C6" s="23" t="s">
        <v>27</v>
      </c>
      <c r="D6" s="24">
        <v>0.1</v>
      </c>
    </row>
    <row r="7" spans="1:4" ht="16.5" x14ac:dyDescent="0.3">
      <c r="A7" s="22" t="str">
        <f t="shared" si="0"/>
        <v>Conservador - DESENVOLVIMENTO</v>
      </c>
      <c r="B7" s="27" t="s">
        <v>31</v>
      </c>
      <c r="C7" s="23" t="s">
        <v>28</v>
      </c>
      <c r="D7" s="24">
        <v>0</v>
      </c>
    </row>
    <row r="8" spans="1:4" ht="16.5" x14ac:dyDescent="0.3">
      <c r="A8" s="22" t="str">
        <f t="shared" si="0"/>
        <v>Conservador - HOTELARIAS</v>
      </c>
      <c r="B8" s="27" t="s">
        <v>31</v>
      </c>
      <c r="C8" s="23" t="s">
        <v>29</v>
      </c>
      <c r="D8" s="24">
        <v>0</v>
      </c>
    </row>
    <row r="9" spans="1:4" ht="16.5" x14ac:dyDescent="0.3">
      <c r="A9" s="22" t="str">
        <f t="shared" si="0"/>
        <v>Moderado - PAPEL</v>
      </c>
      <c r="B9" s="27" t="s">
        <v>19</v>
      </c>
      <c r="C9" s="23" t="s">
        <v>24</v>
      </c>
      <c r="D9" s="28">
        <v>0.32</v>
      </c>
    </row>
    <row r="10" spans="1:4" ht="16.5" x14ac:dyDescent="0.3">
      <c r="A10" s="22" t="str">
        <f t="shared" si="0"/>
        <v>Moderado - TIJOLO</v>
      </c>
      <c r="B10" s="27" t="s">
        <v>19</v>
      </c>
      <c r="C10" s="23" t="s">
        <v>25</v>
      </c>
      <c r="D10" s="28">
        <v>0.35</v>
      </c>
    </row>
    <row r="11" spans="1:4" ht="16.5" x14ac:dyDescent="0.3">
      <c r="A11" s="22" t="str">
        <f t="shared" si="0"/>
        <v>Moderado - HIBRIDOS</v>
      </c>
      <c r="B11" s="27" t="s">
        <v>19</v>
      </c>
      <c r="C11" s="23" t="s">
        <v>26</v>
      </c>
      <c r="D11" s="28">
        <v>0.08</v>
      </c>
    </row>
    <row r="12" spans="1:4" ht="16.5" x14ac:dyDescent="0.3">
      <c r="A12" s="22" t="str">
        <f t="shared" si="0"/>
        <v>Moderado - FOFs</v>
      </c>
      <c r="B12" s="27" t="s">
        <v>19</v>
      </c>
      <c r="C12" s="23" t="s">
        <v>27</v>
      </c>
      <c r="D12" s="28">
        <v>0.05</v>
      </c>
    </row>
    <row r="13" spans="1:4" ht="16.5" x14ac:dyDescent="0.3">
      <c r="A13" s="22" t="str">
        <f t="shared" si="0"/>
        <v>Moderado - DESENVOLVIMENTO</v>
      </c>
      <c r="B13" s="27" t="s">
        <v>19</v>
      </c>
      <c r="C13" s="23" t="s">
        <v>28</v>
      </c>
      <c r="D13" s="28">
        <v>0.1</v>
      </c>
    </row>
    <row r="14" spans="1:4" ht="16.5" x14ac:dyDescent="0.3">
      <c r="A14" s="22" t="str">
        <f t="shared" si="0"/>
        <v>Moderado - HOTELARIAS</v>
      </c>
      <c r="B14" s="27" t="s">
        <v>19</v>
      </c>
      <c r="C14" s="23" t="s">
        <v>29</v>
      </c>
      <c r="D14" s="28">
        <v>0.1</v>
      </c>
    </row>
    <row r="15" spans="1:4" ht="16.5" x14ac:dyDescent="0.3">
      <c r="A15" s="22" t="str">
        <f t="shared" si="0"/>
        <v>Agressivo - PAPEL</v>
      </c>
      <c r="B15" s="27" t="s">
        <v>18</v>
      </c>
      <c r="C15" s="23" t="s">
        <v>24</v>
      </c>
      <c r="D15" s="28">
        <v>0.5</v>
      </c>
    </row>
    <row r="16" spans="1:4" ht="16.5" x14ac:dyDescent="0.3">
      <c r="A16" s="22" t="str">
        <f t="shared" si="0"/>
        <v>Agressivo - TIJOLO</v>
      </c>
      <c r="B16" s="27" t="s">
        <v>18</v>
      </c>
      <c r="C16" s="23" t="s">
        <v>25</v>
      </c>
      <c r="D16" s="28">
        <v>0.1</v>
      </c>
    </row>
    <row r="17" spans="1:4" ht="16.5" x14ac:dyDescent="0.3">
      <c r="A17" s="22" t="str">
        <f t="shared" si="0"/>
        <v>Agressivo - HIBRIDOS</v>
      </c>
      <c r="B17" s="27" t="s">
        <v>18</v>
      </c>
      <c r="C17" s="23" t="s">
        <v>26</v>
      </c>
      <c r="D17" s="28">
        <v>0.05</v>
      </c>
    </row>
    <row r="18" spans="1:4" ht="16.5" x14ac:dyDescent="0.3">
      <c r="A18" s="22" t="str">
        <f t="shared" si="0"/>
        <v>Agressivo - FOFs</v>
      </c>
      <c r="B18" s="27" t="s">
        <v>18</v>
      </c>
      <c r="C18" s="23" t="s">
        <v>27</v>
      </c>
      <c r="D18" s="28">
        <v>0.05</v>
      </c>
    </row>
    <row r="19" spans="1:4" ht="16.5" x14ac:dyDescent="0.3">
      <c r="A19" s="22" t="str">
        <f t="shared" si="0"/>
        <v>Agressivo - DESENVOLVIMENTO</v>
      </c>
      <c r="B19" s="27" t="s">
        <v>18</v>
      </c>
      <c r="C19" s="23" t="s">
        <v>28</v>
      </c>
      <c r="D19" s="28">
        <v>0.2</v>
      </c>
    </row>
    <row r="20" spans="1:4" ht="16.5" x14ac:dyDescent="0.3">
      <c r="A20" s="22" t="str">
        <f t="shared" si="0"/>
        <v>Agressivo - HOTELARIAS</v>
      </c>
      <c r="B20" s="27" t="s">
        <v>18</v>
      </c>
      <c r="C20" s="23" t="s">
        <v>29</v>
      </c>
      <c r="D20" s="28">
        <v>0.1</v>
      </c>
    </row>
    <row r="21" spans="1:4" ht="16.5" x14ac:dyDescent="0.25">
      <c r="C21" s="23"/>
    </row>
    <row r="22" spans="1:4" ht="16.5" x14ac:dyDescent="0.25">
      <c r="C22" s="23"/>
    </row>
    <row r="23" spans="1:4" ht="16.5" x14ac:dyDescent="0.25">
      <c r="C23" s="23"/>
    </row>
    <row r="24" spans="1:4" ht="16.5" x14ac:dyDescent="0.25">
      <c r="C24" s="23"/>
    </row>
    <row r="25" spans="1:4" ht="16.5" x14ac:dyDescent="0.25">
      <c r="C25" s="23"/>
    </row>
    <row r="26" spans="1:4" ht="16.5" x14ac:dyDescent="0.25">
      <c r="C26" s="23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C73EC8-522A-45E5-AD34-0889AE750D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Planilha1</vt:lpstr>
      <vt:lpstr>Planilha2</vt:lpstr>
      <vt:lpstr>Aporte</vt:lpstr>
      <vt:lpstr>DividendoMensal</vt:lpstr>
      <vt:lpstr>PatrimonioAcumulado</vt:lpstr>
      <vt:lpstr>QntdAnos</vt:lpstr>
      <vt:lpstr>QntdFIIsComprado</vt:lpstr>
      <vt:lpstr>RendimentoCarteira</vt:lpstr>
      <vt:lpstr>Salario</vt:lpstr>
      <vt:lpstr>SugestaoInvestimento</vt:lpstr>
      <vt:lpstr>TaxaRendMensal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Davi Prates dos Santos</dc:creator>
  <cp:lastModifiedBy>Samuel Davi Prates dos Santos</cp:lastModifiedBy>
  <dcterms:created xsi:type="dcterms:W3CDTF">2026-02-15T02:46:17Z</dcterms:created>
  <dcterms:modified xsi:type="dcterms:W3CDTF">2026-02-15T18:22:22Z</dcterms:modified>
</cp:coreProperties>
</file>