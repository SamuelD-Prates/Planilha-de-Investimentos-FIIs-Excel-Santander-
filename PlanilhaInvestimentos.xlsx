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uel Davi\Downloads\"/>
    </mc:Choice>
  </mc:AlternateContent>
  <xr:revisionPtr revIDLastSave="0" documentId="13_ncr:1_{0D82983B-E1F3-4155-AD58-ED39B882ACEB}" xr6:coauthVersionLast="47" xr6:coauthVersionMax="47" xr10:uidLastSave="{00000000-0000-0000-0000-000000000000}"/>
  <bookViews>
    <workbookView xWindow="-120" yWindow="-120" windowWidth="26640" windowHeight="14370" tabRatio="259" xr2:uid="{5C86A60E-0787-4AFA-80BC-B8BD66E11A75}"/>
  </bookViews>
  <sheets>
    <sheet name="Planilha1" sheetId="1" r:id="rId1"/>
    <sheet name="Planilha2" sheetId="2" r:id="rId2"/>
  </sheets>
  <definedNames>
    <definedName name="Aporte">Planilha1!$D$18</definedName>
    <definedName name="DividendoMensal">Planilha1!$D$24</definedName>
    <definedName name="PatrimonioAcumulado">Planilha1!$D$22</definedName>
    <definedName name="PrecoMedioCompra">Planilha1!#REF!</definedName>
    <definedName name="PrecoVenda">Planilha1!#REF!</definedName>
    <definedName name="QntdAnos">Planilha1!$D$19</definedName>
    <definedName name="QntdFIIsComprado">Planilha1!$D$16</definedName>
    <definedName name="QntdFIIsVend">Planilha1!#REF!</definedName>
    <definedName name="RendimentoCarteira">Planilha1!$D$13</definedName>
    <definedName name="Salario">Planilha1!$D$12</definedName>
    <definedName name="SugestaoInvestimento">Planilha1!$D$14</definedName>
    <definedName name="TaxaRendMensal">Planilha1!$D$20</definedName>
    <definedName name="TotalCompradoFIIs">Planilha1!#REF!</definedName>
    <definedName name="TotalVendidoFIIs">Planilha1!#REF!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1" l="1"/>
  <c r="D24" i="1"/>
  <c r="C40" i="1"/>
  <c r="C41" i="1"/>
  <c r="C42" i="1"/>
  <c r="C43" i="1"/>
  <c r="C44" i="1"/>
  <c r="C39" i="1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3" i="2"/>
  <c r="D36" i="1"/>
  <c r="C32" i="1"/>
  <c r="D32" i="1" s="1"/>
  <c r="C29" i="1"/>
  <c r="D29" i="1" s="1"/>
  <c r="C30" i="1"/>
  <c r="D30" i="1" s="1"/>
  <c r="C31" i="1"/>
  <c r="D31" i="1" s="1"/>
  <c r="C28" i="1"/>
  <c r="D28" i="1" s="1"/>
  <c r="D39" i="1" l="1"/>
  <c r="D44" i="1"/>
  <c r="D43" i="1"/>
  <c r="D42" i="1"/>
  <c r="D41" i="1"/>
  <c r="D40" i="1"/>
  <c r="D45" i="1" l="1"/>
</calcChain>
</file>

<file path=xl/sharedStrings.xml><?xml version="1.0" encoding="utf-8"?>
<sst xmlns="http://schemas.openxmlformats.org/spreadsheetml/2006/main" count="71" uniqueCount="36">
  <si>
    <t>INVESTIMENTO MENSAL</t>
  </si>
  <si>
    <t>Quanto investir por mês?</t>
  </si>
  <si>
    <t>Quanto em 2 anos?</t>
  </si>
  <si>
    <t>Quanto em 5 anos?</t>
  </si>
  <si>
    <t>Quanto em 10 anos?</t>
  </si>
  <si>
    <t>Quanto em 20 anos?</t>
  </si>
  <si>
    <t>Quanto em 30 anos?</t>
  </si>
  <si>
    <t>Salário</t>
  </si>
  <si>
    <t>Rendimento Carteira</t>
  </si>
  <si>
    <t>Sugestão de Investimento</t>
  </si>
  <si>
    <t>CONFIGURAÇÕES</t>
  </si>
  <si>
    <t>CENÁRIOS</t>
  </si>
  <si>
    <t>DIVIDENDO</t>
  </si>
  <si>
    <t>Dividendo Mensal</t>
  </si>
  <si>
    <t>Rendimento Mensal</t>
  </si>
  <si>
    <t>Quantos Anos?</t>
  </si>
  <si>
    <t>Patrimonio Bruto Acumulado Final</t>
  </si>
  <si>
    <t>Perfil</t>
  </si>
  <si>
    <t>Agressivo</t>
  </si>
  <si>
    <t>Moderado</t>
  </si>
  <si>
    <t>Valor a Ser Investido Por Mês</t>
  </si>
  <si>
    <t>Tipo de FII</t>
  </si>
  <si>
    <t>Percentual Sugerido</t>
  </si>
  <si>
    <t>Valores</t>
  </si>
  <si>
    <t>PAPEL</t>
  </si>
  <si>
    <t>TIJOLO</t>
  </si>
  <si>
    <t>HIBRIDOS</t>
  </si>
  <si>
    <t>FOFs</t>
  </si>
  <si>
    <t>DESENVOLVIMENTO</t>
  </si>
  <si>
    <t>HOTELARIAS</t>
  </si>
  <si>
    <t>PERFIL</t>
  </si>
  <si>
    <t>Conservador</t>
  </si>
  <si>
    <t>PERCENTUAL</t>
  </si>
  <si>
    <t>CHAVE</t>
  </si>
  <si>
    <t>Imposto de Renda</t>
  </si>
  <si>
    <t>Patrimonio Liquido Acumulado 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</si>
</sst>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00%"/>
    <numFmt numFmtId="165" formatCode="&quot;R$&quot;\ #,##0.00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0"/>
      <color theme="0"/>
      <name val="SauceCodePro NF"/>
      <family val="3"/>
    </font>
    <font>
      <b/>
      <sz val="18"/>
      <color theme="0"/>
      <name val="SauceCodePro NF"/>
      <family val="3"/>
    </font>
    <font>
      <sz val="13"/>
      <color theme="1"/>
      <name val="RobotoMono Nerd Font"/>
      <family val="3"/>
    </font>
    <font>
      <b/>
      <sz val="11"/>
      <color theme="1"/>
      <name val="RobotoMono Nerd Font Mono"/>
      <family val="3"/>
    </font>
    <font>
      <sz val="11"/>
      <color theme="1"/>
      <name val="RobotoMono Nerd Font"/>
      <family val="3"/>
    </font>
    <font>
      <b/>
      <sz val="11"/>
      <color theme="1"/>
      <name val="RobotoMono Nerd Font"/>
      <family val="3"/>
    </font>
    <font>
      <i/>
      <sz val="13"/>
      <color theme="1"/>
      <name val="RobotoMono Nerd Font"/>
      <family val="3"/>
    </font>
    <font>
      <b/>
      <i/>
      <sz val="13"/>
      <color theme="1"/>
      <name val="RobotoMono Nerd Font"/>
      <family val="3"/>
    </font>
  </fonts>
  <fills count="10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38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dashed">
        <color theme="0" tint="-0.34998626667073579"/>
      </right>
      <top style="dashed">
        <color theme="0" tint="-0.34998626667073579"/>
      </top>
      <bottom style="dashed">
        <color theme="0" tint="-0.34998626667073579"/>
      </bottom>
      <diagonal/>
    </border>
    <border>
      <left style="dashed">
        <color theme="0" tint="-0.34998626667073579"/>
      </left>
      <right style="dashed">
        <color theme="0" tint="-0.34998626667073579"/>
      </right>
      <top style="dashed">
        <color theme="0" tint="-0.34998626667073579"/>
      </top>
      <bottom style="dashed">
        <color theme="0" tint="-0.34998626667073579"/>
      </bottom>
      <diagonal/>
    </border>
    <border>
      <left style="medium">
        <color indexed="64"/>
      </left>
      <right style="dashed">
        <color theme="0" tint="-0.34998626667073579"/>
      </right>
      <top style="medium">
        <color indexed="64"/>
      </top>
      <bottom style="dashed">
        <color theme="0" tint="-0.34998626667073579"/>
      </bottom>
      <diagonal/>
    </border>
    <border>
      <left style="dashed">
        <color theme="0" tint="-0.34998626667073579"/>
      </left>
      <right style="medium">
        <color indexed="64"/>
      </right>
      <top style="medium">
        <color indexed="64"/>
      </top>
      <bottom style="dashed">
        <color theme="0" tint="-0.34998626667073579"/>
      </bottom>
      <diagonal/>
    </border>
    <border>
      <left style="medium">
        <color indexed="64"/>
      </left>
      <right style="dashed">
        <color theme="0" tint="-0.34998626667073579"/>
      </right>
      <top style="dashed">
        <color theme="0" tint="-0.34998626667073579"/>
      </top>
      <bottom style="dashed">
        <color theme="0" tint="-0.34998626667073579"/>
      </bottom>
      <diagonal/>
    </border>
    <border>
      <left style="dashed">
        <color theme="0" tint="-0.34998626667073579"/>
      </left>
      <right style="medium">
        <color indexed="64"/>
      </right>
      <top style="dashed">
        <color theme="0" tint="-0.34998626667073579"/>
      </top>
      <bottom style="dashed">
        <color theme="0" tint="-0.34998626667073579"/>
      </bottom>
      <diagonal/>
    </border>
    <border>
      <left style="medium">
        <color indexed="64"/>
      </left>
      <right style="dashed">
        <color theme="0" tint="-0.34998626667073579"/>
      </right>
      <top style="dashed">
        <color theme="0" tint="-0.34998626667073579"/>
      </top>
      <bottom style="medium">
        <color indexed="64"/>
      </bottom>
      <diagonal/>
    </border>
    <border>
      <left style="dashed">
        <color theme="0" tint="-0.34998626667073579"/>
      </left>
      <right style="medium">
        <color indexed="64"/>
      </right>
      <top style="dashed">
        <color theme="0" tint="-0.34998626667073579"/>
      </top>
      <bottom style="medium">
        <color indexed="64"/>
      </bottom>
      <diagonal/>
    </border>
    <border>
      <left style="dashed">
        <color theme="0" tint="-0.34998626667073579"/>
      </left>
      <right style="dashed">
        <color theme="0" tint="-0.34998626667073579"/>
      </right>
      <top style="medium">
        <color indexed="64"/>
      </top>
      <bottom style="dashed">
        <color theme="0" tint="-0.34998626667073579"/>
      </bottom>
      <diagonal/>
    </border>
    <border>
      <left style="dashed">
        <color theme="0" tint="-0.34998626667073579"/>
      </left>
      <right style="dashed">
        <color theme="0" tint="-0.34998626667073579"/>
      </right>
      <top style="dashed">
        <color theme="0" tint="-0.34998626667073579"/>
      </top>
      <bottom style="medium">
        <color indexed="64"/>
      </bottom>
      <diagonal/>
    </border>
    <border>
      <left style="dotted">
        <color theme="0" tint="-0.34998626667073579"/>
      </left>
      <right style="dotted">
        <color theme="0" tint="-0.34998626667073579"/>
      </right>
      <top style="dotted">
        <color theme="0" tint="-0.34998626667073579"/>
      </top>
      <bottom style="dotted">
        <color theme="0" tint="-0.34998626667073579"/>
      </bottom>
      <diagonal/>
    </border>
    <border>
      <left style="medium">
        <color indexed="64"/>
      </left>
      <right style="dotted">
        <color theme="0" tint="-0.34998626667073579"/>
      </right>
      <top style="medium">
        <color indexed="64"/>
      </top>
      <bottom style="dotted">
        <color theme="0" tint="-0.34998626667073579"/>
      </bottom>
      <diagonal/>
    </border>
    <border>
      <left style="dotted">
        <color theme="0" tint="-0.34998626667073579"/>
      </left>
      <right style="dotted">
        <color theme="0" tint="-0.34998626667073579"/>
      </right>
      <top style="medium">
        <color indexed="64"/>
      </top>
      <bottom style="dotted">
        <color theme="0" tint="-0.34998626667073579"/>
      </bottom>
      <diagonal/>
    </border>
    <border>
      <left style="dotted">
        <color theme="0" tint="-0.34998626667073579"/>
      </left>
      <right style="medium">
        <color indexed="64"/>
      </right>
      <top style="medium">
        <color indexed="64"/>
      </top>
      <bottom style="dotted">
        <color theme="0" tint="-0.34998626667073579"/>
      </bottom>
      <diagonal/>
    </border>
    <border>
      <left style="medium">
        <color indexed="64"/>
      </left>
      <right style="dotted">
        <color theme="0" tint="-0.34998626667073579"/>
      </right>
      <top style="dotted">
        <color theme="0" tint="-0.34998626667073579"/>
      </top>
      <bottom style="dotted">
        <color theme="0" tint="-0.34998626667073579"/>
      </bottom>
      <diagonal/>
    </border>
    <border>
      <left style="dotted">
        <color theme="0" tint="-0.34998626667073579"/>
      </left>
      <right style="medium">
        <color indexed="64"/>
      </right>
      <top style="dotted">
        <color theme="0" tint="-0.34998626667073579"/>
      </top>
      <bottom style="dotted">
        <color theme="0" tint="-0.34998626667073579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dotted">
        <color theme="0" tint="-0.34998626667073579"/>
      </top>
      <bottom style="medium">
        <color indexed="64"/>
      </bottom>
      <diagonal/>
    </border>
    <border>
      <left/>
      <right/>
      <top style="dotted">
        <color theme="0" tint="-0.34998626667073579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34998626667073579"/>
      </top>
      <bottom style="medium">
        <color indexed="64"/>
      </bottom>
      <diagonal/>
    </border>
    <border>
      <left style="dashed">
        <color theme="0" tint="-0.34998626667073579"/>
      </left>
      <right style="medium">
        <color indexed="64"/>
      </right>
      <top style="dashed">
        <color theme="0" tint="-0.34998626667073579"/>
      </top>
      <bottom/>
      <diagonal/>
    </border>
    <border>
      <left style="medium">
        <color indexed="64"/>
      </left>
      <right/>
      <top style="dashed">
        <color theme="0" tint="-0.34998626667073579"/>
      </top>
      <bottom style="dashed">
        <color theme="0" tint="-0.34998626667073579"/>
      </bottom>
      <diagonal/>
    </border>
    <border>
      <left style="medium">
        <color indexed="64"/>
      </left>
      <right/>
      <top style="medium">
        <color indexed="64"/>
      </top>
      <bottom style="dashed">
        <color theme="0" tint="-0.34998626667073579"/>
      </bottom>
      <diagonal/>
    </border>
    <border>
      <left/>
      <right style="dashed">
        <color theme="0" tint="-0.34998626667073579"/>
      </right>
      <top style="medium">
        <color indexed="64"/>
      </top>
      <bottom style="dashed">
        <color theme="0" tint="-0.34998626667073579"/>
      </bottom>
      <diagonal/>
    </border>
    <border>
      <left style="medium">
        <color indexed="64"/>
      </left>
      <right/>
      <top style="dashed">
        <color theme="0" tint="-0.34998626667073579"/>
      </top>
      <bottom style="medium">
        <color indexed="64"/>
      </bottom>
      <diagonal/>
    </border>
    <border>
      <left/>
      <right style="dashed">
        <color theme="0" tint="-0.34998626667073579"/>
      </right>
      <top style="dashed">
        <color theme="0" tint="-0.34998626667073579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64">
    <xf numFmtId="0" fontId="0" fillId="0" borderId="0" xfId="0"/>
    <xf numFmtId="44" fontId="0" fillId="0" borderId="0" xfId="2" applyFont="1"/>
    <xf numFmtId="1" fontId="5" fillId="0" borderId="11" xfId="1" applyNumberFormat="1" applyFont="1" applyBorder="1" applyAlignment="1">
      <alignment vertical="center"/>
    </xf>
    <xf numFmtId="164" fontId="5" fillId="0" borderId="11" xfId="0" applyNumberFormat="1" applyFont="1" applyBorder="1" applyAlignment="1">
      <alignment vertical="center"/>
    </xf>
    <xf numFmtId="44" fontId="7" fillId="0" borderId="9" xfId="2" applyFont="1" applyBorder="1" applyAlignment="1">
      <alignment horizontal="right" vertical="center"/>
    </xf>
    <xf numFmtId="10" fontId="7" fillId="0" borderId="11" xfId="0" applyNumberFormat="1" applyFont="1" applyBorder="1" applyAlignment="1">
      <alignment horizontal="right" vertical="center"/>
    </xf>
    <xf numFmtId="44" fontId="7" fillId="0" borderId="13" xfId="0" applyNumberFormat="1" applyFont="1" applyBorder="1" applyAlignment="1">
      <alignment horizontal="right" vertical="center"/>
    </xf>
    <xf numFmtId="165" fontId="5" fillId="0" borderId="9" xfId="2" applyNumberFormat="1" applyFont="1" applyBorder="1" applyAlignment="1">
      <alignment vertical="center"/>
    </xf>
    <xf numFmtId="165" fontId="5" fillId="3" borderId="11" xfId="0" applyNumberFormat="1" applyFont="1" applyFill="1" applyBorder="1" applyAlignment="1">
      <alignment vertical="center"/>
    </xf>
    <xf numFmtId="165" fontId="5" fillId="3" borderId="13" xfId="0" applyNumberFormat="1" applyFont="1" applyFill="1" applyBorder="1" applyAlignment="1">
      <alignment vertical="center"/>
    </xf>
    <xf numFmtId="44" fontId="5" fillId="5" borderId="14" xfId="2" applyFont="1" applyFill="1" applyBorder="1" applyAlignment="1"/>
    <xf numFmtId="44" fontId="5" fillId="5" borderId="9" xfId="0" applyNumberFormat="1" applyFont="1" applyFill="1" applyBorder="1"/>
    <xf numFmtId="44" fontId="5" fillId="5" borderId="7" xfId="2" applyFont="1" applyFill="1" applyBorder="1" applyAlignment="1"/>
    <xf numFmtId="44" fontId="5" fillId="5" borderId="11" xfId="0" applyNumberFormat="1" applyFont="1" applyFill="1" applyBorder="1"/>
    <xf numFmtId="44" fontId="5" fillId="5" borderId="15" xfId="2" applyFont="1" applyFill="1" applyBorder="1" applyAlignment="1"/>
    <xf numFmtId="44" fontId="5" fillId="5" borderId="13" xfId="0" applyNumberFormat="1" applyFont="1" applyFill="1" applyBorder="1"/>
    <xf numFmtId="0" fontId="8" fillId="5" borderId="8" xfId="0" applyFont="1" applyFill="1" applyBorder="1" applyAlignment="1">
      <alignment horizontal="left"/>
    </xf>
    <xf numFmtId="0" fontId="8" fillId="5" borderId="10" xfId="0" applyFont="1" applyFill="1" applyBorder="1" applyAlignment="1">
      <alignment horizontal="left"/>
    </xf>
    <xf numFmtId="0" fontId="8" fillId="5" borderId="12" xfId="0" applyFont="1" applyFill="1" applyBorder="1" applyAlignment="1">
      <alignment horizontal="left"/>
    </xf>
    <xf numFmtId="0" fontId="9" fillId="3" borderId="10" xfId="0" applyFont="1" applyFill="1" applyBorder="1" applyAlignment="1">
      <alignment horizontal="left" vertical="center"/>
    </xf>
    <xf numFmtId="0" fontId="9" fillId="3" borderId="7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right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9" fontId="6" fillId="0" borderId="0" xfId="0" applyNumberFormat="1" applyFont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7" fillId="9" borderId="0" xfId="0" applyFont="1" applyFill="1" applyAlignment="1">
      <alignment horizontal="center"/>
    </xf>
    <xf numFmtId="0" fontId="6" fillId="0" borderId="0" xfId="0" applyFont="1" applyAlignment="1">
      <alignment horizontal="left"/>
    </xf>
    <xf numFmtId="9" fontId="6" fillId="0" borderId="0" xfId="0" applyNumberFormat="1" applyFont="1" applyAlignment="1">
      <alignment horizontal="center"/>
    </xf>
    <xf numFmtId="0" fontId="7" fillId="7" borderId="17" xfId="0" applyFont="1" applyFill="1" applyBorder="1" applyAlignment="1">
      <alignment horizontal="center" vertical="center"/>
    </xf>
    <xf numFmtId="0" fontId="7" fillId="7" borderId="18" xfId="0" applyFont="1" applyFill="1" applyBorder="1" applyAlignment="1">
      <alignment horizontal="center" vertical="center"/>
    </xf>
    <xf numFmtId="0" fontId="7" fillId="7" borderId="19" xfId="0" applyFont="1" applyFill="1" applyBorder="1" applyAlignment="1">
      <alignment horizontal="center" vertical="center"/>
    </xf>
    <xf numFmtId="44" fontId="6" fillId="5" borderId="5" xfId="2" applyFont="1" applyFill="1" applyBorder="1" applyAlignment="1">
      <alignment horizontal="center" vertical="center"/>
    </xf>
    <xf numFmtId="0" fontId="6" fillId="6" borderId="22" xfId="0" applyFont="1" applyFill="1" applyBorder="1" applyAlignment="1">
      <alignment horizontal="center" vertical="center"/>
    </xf>
    <xf numFmtId="0" fontId="6" fillId="6" borderId="23" xfId="0" applyFont="1" applyFill="1" applyBorder="1" applyAlignment="1">
      <alignment horizontal="center" vertical="center"/>
    </xf>
    <xf numFmtId="0" fontId="6" fillId="6" borderId="24" xfId="0" applyFont="1" applyFill="1" applyBorder="1" applyAlignment="1">
      <alignment horizontal="center" vertical="center"/>
    </xf>
    <xf numFmtId="0" fontId="6" fillId="8" borderId="25" xfId="0" applyFont="1" applyFill="1" applyBorder="1"/>
    <xf numFmtId="0" fontId="6" fillId="8" borderId="26" xfId="0" applyFont="1" applyFill="1" applyBorder="1"/>
    <xf numFmtId="44" fontId="7" fillId="0" borderId="21" xfId="0" applyNumberFormat="1" applyFont="1" applyBorder="1" applyAlignment="1">
      <alignment horizontal="center"/>
    </xf>
    <xf numFmtId="44" fontId="7" fillId="8" borderId="27" xfId="0" applyNumberFormat="1" applyFont="1" applyFill="1" applyBorder="1" applyAlignment="1">
      <alignment horizontal="center"/>
    </xf>
    <xf numFmtId="0" fontId="4" fillId="0" borderId="20" xfId="0" applyFont="1" applyBorder="1" applyAlignment="1">
      <alignment horizontal="center" vertical="center"/>
    </xf>
    <xf numFmtId="9" fontId="7" fillId="0" borderId="16" xfId="0" applyNumberFormat="1" applyFont="1" applyBorder="1" applyAlignment="1">
      <alignment horizontal="center" vertical="center"/>
    </xf>
    <xf numFmtId="165" fontId="5" fillId="3" borderId="28" xfId="0" applyNumberFormat="1" applyFont="1" applyFill="1" applyBorder="1" applyAlignment="1">
      <alignment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8" fillId="5" borderId="8" xfId="0" applyFont="1" applyFill="1" applyBorder="1" applyAlignment="1">
      <alignment horizontal="left"/>
    </xf>
    <xf numFmtId="0" fontId="8" fillId="5" borderId="14" xfId="0" applyFont="1" applyFill="1" applyBorder="1" applyAlignment="1">
      <alignment horizontal="left"/>
    </xf>
    <xf numFmtId="0" fontId="8" fillId="5" borderId="10" xfId="0" applyFont="1" applyFill="1" applyBorder="1" applyAlignment="1">
      <alignment horizontal="left"/>
    </xf>
    <xf numFmtId="0" fontId="8" fillId="5" borderId="7" xfId="0" applyFont="1" applyFill="1" applyBorder="1" applyAlignment="1">
      <alignment horizontal="left"/>
    </xf>
    <xf numFmtId="0" fontId="8" fillId="5" borderId="12" xfId="0" applyFont="1" applyFill="1" applyBorder="1" applyAlignment="1">
      <alignment horizontal="left"/>
    </xf>
    <xf numFmtId="0" fontId="8" fillId="5" borderId="15" xfId="0" applyFont="1" applyFill="1" applyBorder="1" applyAlignment="1">
      <alignment horizontal="left"/>
    </xf>
    <xf numFmtId="0" fontId="6" fillId="5" borderId="36" xfId="0" applyFont="1" applyFill="1" applyBorder="1" applyAlignment="1">
      <alignment horizontal="center" vertical="center"/>
    </xf>
    <xf numFmtId="0" fontId="6" fillId="5" borderId="37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 wrapText="1"/>
    </xf>
    <xf numFmtId="0" fontId="8" fillId="5" borderId="31" xfId="0" applyFont="1" applyFill="1" applyBorder="1" applyAlignment="1">
      <alignment horizontal="center" vertical="center" wrapText="1"/>
    </xf>
    <xf numFmtId="0" fontId="8" fillId="5" borderId="29" xfId="0" applyFont="1" applyFill="1" applyBorder="1" applyAlignment="1">
      <alignment horizontal="center" vertical="center"/>
    </xf>
    <xf numFmtId="0" fontId="8" fillId="5" borderId="6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2" fillId="2" borderId="34" xfId="0" applyFont="1" applyFill="1" applyBorder="1" applyAlignment="1">
      <alignment horizontal="left" vertical="center"/>
    </xf>
    <xf numFmtId="0" fontId="2" fillId="2" borderId="35" xfId="0" applyFont="1" applyFill="1" applyBorder="1" applyAlignment="1">
      <alignment horizontal="left" vertical="center"/>
    </xf>
  </cellXfs>
  <cellStyles count="3">
    <cellStyle name="Moeda" xfId="2" builtinId="4"/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3324225</xdr:colOff>
      <xdr:row>0</xdr:row>
      <xdr:rowOff>0</xdr:rowOff>
    </xdr:from>
    <xdr:to>
      <xdr:col>3</xdr:col>
      <xdr:colOff>2375765</xdr:colOff>
      <xdr:row>8</xdr:row>
      <xdr:rowOff>160582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EC4062D-CD7E-1E76-3364-CECA6B730F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33825" y="0"/>
          <a:ext cx="8157440" cy="16845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E4E67-C23C-40FF-8A37-8E07ED21C15B}">
  <dimension ref="A11:J50"/>
  <sheetViews>
    <sheetView showGridLines="0" tabSelected="1" topLeftCell="A15" zoomScale="85" zoomScaleNormal="85" workbookViewId="0">
      <selection activeCell="E34" sqref="E34"/>
    </sheetView>
  </sheetViews>
  <sheetFormatPr defaultColWidth="0" defaultRowHeight="15" x14ac:dyDescent="0.25"/>
  <cols>
    <col min="1" max="1" width="9.140625" customWidth="1"/>
    <col min="2" max="2" width="86" customWidth="1"/>
    <col min="3" max="3" width="50.5703125" customWidth="1"/>
    <col min="4" max="4" width="63.7109375" customWidth="1"/>
    <col min="5" max="5" width="34.42578125" bestFit="1" customWidth="1"/>
    <col min="6" max="6" width="5.5703125" customWidth="1"/>
    <col min="7" max="7" width="3.5703125" customWidth="1"/>
    <col min="8" max="8" width="3.42578125" customWidth="1"/>
    <col min="9" max="9" width="8.28515625" customWidth="1"/>
    <col min="10" max="10" width="9.140625" customWidth="1"/>
    <col min="11" max="16384" width="9.140625" hidden="1"/>
  </cols>
  <sheetData>
    <row r="11" spans="2:4" ht="49.5" customHeight="1" thickBot="1" x14ac:dyDescent="0.3">
      <c r="B11" s="43" t="s">
        <v>10</v>
      </c>
      <c r="C11" s="44"/>
      <c r="D11" s="44"/>
    </row>
    <row r="12" spans="2:4" ht="18.75" x14ac:dyDescent="0.35">
      <c r="B12" s="45" t="s">
        <v>7</v>
      </c>
      <c r="C12" s="46"/>
      <c r="D12" s="4"/>
    </row>
    <row r="13" spans="2:4" ht="18.75" x14ac:dyDescent="0.35">
      <c r="B13" s="47" t="s">
        <v>8</v>
      </c>
      <c r="C13" s="48"/>
      <c r="D13" s="5"/>
    </row>
    <row r="14" spans="2:4" ht="19.5" thickBot="1" x14ac:dyDescent="0.4">
      <c r="B14" s="49" t="s">
        <v>9</v>
      </c>
      <c r="C14" s="50"/>
      <c r="D14" s="6"/>
    </row>
    <row r="17" spans="2:5" ht="48.75" customHeight="1" thickBot="1" x14ac:dyDescent="0.3">
      <c r="B17" s="53" t="s">
        <v>0</v>
      </c>
      <c r="C17" s="54"/>
      <c r="D17" s="55"/>
    </row>
    <row r="18" spans="2:5" ht="18.75" x14ac:dyDescent="0.25">
      <c r="B18" s="56" t="s">
        <v>1</v>
      </c>
      <c r="C18" s="57"/>
      <c r="D18" s="7"/>
    </row>
    <row r="19" spans="2:5" ht="18.75" x14ac:dyDescent="0.25">
      <c r="B19" s="58" t="s">
        <v>15</v>
      </c>
      <c r="C19" s="59"/>
      <c r="D19" s="2"/>
    </row>
    <row r="20" spans="2:5" ht="18.75" x14ac:dyDescent="0.25">
      <c r="B20" s="58" t="s">
        <v>14</v>
      </c>
      <c r="C20" s="59"/>
      <c r="D20" s="3"/>
    </row>
    <row r="21" spans="2:5" ht="18.75" x14ac:dyDescent="0.25">
      <c r="B21" s="58" t="s">
        <v>34</v>
      </c>
      <c r="C21" s="59"/>
      <c r="D21" s="3"/>
    </row>
    <row r="22" spans="2:5" ht="15" hidden="1" customHeight="1" x14ac:dyDescent="0.25">
      <c r="B22" s="19" t="s">
        <v>16</v>
      </c>
      <c r="C22" s="20"/>
      <c r="D22" s="8">
        <f>FV(TaxaRendMensal,QntdAnos*12,Aporte*(-1))</f>
        <v>0</v>
      </c>
    </row>
    <row r="23" spans="2:5" ht="15" hidden="1" customHeight="1" x14ac:dyDescent="0.25">
      <c r="B23" s="19" t="s">
        <v>35</v>
      </c>
      <c r="C23" s="20"/>
      <c r="D23" s="42"/>
    </row>
    <row r="24" spans="2:5" ht="19.5" thickBot="1" x14ac:dyDescent="0.3">
      <c r="B24" s="60" t="s">
        <v>13</v>
      </c>
      <c r="C24" s="61"/>
      <c r="D24" s="9">
        <f>PatrimonioAcumulado*RendimentoCarteira</f>
        <v>0</v>
      </c>
    </row>
    <row r="26" spans="2:5" ht="16.5" customHeight="1" thickBot="1" x14ac:dyDescent="0.3"/>
    <row r="27" spans="2:5" ht="49.5" customHeight="1" thickBot="1" x14ac:dyDescent="0.3">
      <c r="B27" s="62" t="s">
        <v>11</v>
      </c>
      <c r="C27" s="63"/>
      <c r="D27" s="21" t="s">
        <v>12</v>
      </c>
    </row>
    <row r="28" spans="2:5" ht="16.5" customHeight="1" x14ac:dyDescent="0.35">
      <c r="B28" s="16" t="s">
        <v>2</v>
      </c>
      <c r="C28" s="10">
        <f>FV(TaxaRendMensal,2*12,Aporte*(-1))</f>
        <v>0</v>
      </c>
      <c r="D28" s="11">
        <f>C28*RendimentoCarteira</f>
        <v>0</v>
      </c>
    </row>
    <row r="29" spans="2:5" ht="16.5" customHeight="1" x14ac:dyDescent="0.35">
      <c r="B29" s="17" t="s">
        <v>3</v>
      </c>
      <c r="C29" s="12">
        <f>FV(TaxaRendMensal,5*12,Aporte*(-1))</f>
        <v>0</v>
      </c>
      <c r="D29" s="13">
        <f>C29*$D$13</f>
        <v>0</v>
      </c>
    </row>
    <row r="30" spans="2:5" ht="16.5" customHeight="1" x14ac:dyDescent="0.35">
      <c r="B30" s="17" t="s">
        <v>4</v>
      </c>
      <c r="C30" s="12">
        <f>FV(TaxaRendMensal,10*12,Aporte*(-1))</f>
        <v>0</v>
      </c>
      <c r="D30" s="13">
        <f>C30*$D$13</f>
        <v>0</v>
      </c>
      <c r="E30" s="1"/>
    </row>
    <row r="31" spans="2:5" ht="16.5" hidden="1" customHeight="1" x14ac:dyDescent="0.35">
      <c r="B31" s="17" t="s">
        <v>5</v>
      </c>
      <c r="C31" s="12">
        <f>FV(TaxaRendMensal,20*12,Aporte*(-1))</f>
        <v>0</v>
      </c>
      <c r="D31" s="13">
        <f>C31*$D$13</f>
        <v>0</v>
      </c>
    </row>
    <row r="32" spans="2:5" ht="17.25" customHeight="1" thickBot="1" x14ac:dyDescent="0.4">
      <c r="B32" s="18" t="s">
        <v>6</v>
      </c>
      <c r="C32" s="14">
        <f>FV(TaxaRendMensal,30*12,Aporte*(-1))</f>
        <v>0</v>
      </c>
      <c r="D32" s="15">
        <f>C32*$D$13</f>
        <v>0</v>
      </c>
    </row>
    <row r="34" spans="2:4" ht="15.75" thickBot="1" x14ac:dyDescent="0.3"/>
    <row r="35" spans="2:4" ht="16.5" x14ac:dyDescent="0.25">
      <c r="B35" s="33" t="s">
        <v>17</v>
      </c>
      <c r="C35" s="34"/>
      <c r="D35" s="35" t="s">
        <v>18</v>
      </c>
    </row>
    <row r="36" spans="2:4" ht="17.25" thickBot="1" x14ac:dyDescent="0.3">
      <c r="B36" s="51" t="s">
        <v>20</v>
      </c>
      <c r="C36" s="52"/>
      <c r="D36" s="32">
        <f>Aporte</f>
        <v>0</v>
      </c>
    </row>
    <row r="37" spans="2:4" ht="17.25" thickBot="1" x14ac:dyDescent="0.3">
      <c r="B37" s="23"/>
      <c r="C37" s="23"/>
      <c r="D37" s="23"/>
    </row>
    <row r="38" spans="2:4" ht="16.5" x14ac:dyDescent="0.25">
      <c r="B38" s="29" t="s">
        <v>21</v>
      </c>
      <c r="C38" s="30" t="s">
        <v>22</v>
      </c>
      <c r="D38" s="31" t="s">
        <v>23</v>
      </c>
    </row>
    <row r="39" spans="2:4" ht="18.75" x14ac:dyDescent="0.3">
      <c r="B39" s="40" t="s">
        <v>24</v>
      </c>
      <c r="C39" s="41">
        <f>VLOOKUP($D$35&amp;" - "&amp;B39,Planilha2!$A:$D,4,)</f>
        <v>0.5</v>
      </c>
      <c r="D39" s="38">
        <f>C39*$D$36</f>
        <v>0</v>
      </c>
    </row>
    <row r="40" spans="2:4" ht="18.75" x14ac:dyDescent="0.3">
      <c r="B40" s="40" t="s">
        <v>25</v>
      </c>
      <c r="C40" s="41">
        <f>VLOOKUP($D$35&amp;" - "&amp;B40,Planilha2!$A:$D,4,)</f>
        <v>0.1</v>
      </c>
      <c r="D40" s="38">
        <f>C40*$D$36</f>
        <v>0</v>
      </c>
    </row>
    <row r="41" spans="2:4" ht="18.75" x14ac:dyDescent="0.3">
      <c r="B41" s="40" t="s">
        <v>26</v>
      </c>
      <c r="C41" s="41">
        <f>VLOOKUP($D$35&amp;" - "&amp;B41,Planilha2!$A:$D,4,)</f>
        <v>0.05</v>
      </c>
      <c r="D41" s="38">
        <f>C41*$D$36</f>
        <v>0</v>
      </c>
    </row>
    <row r="42" spans="2:4" ht="18.75" x14ac:dyDescent="0.3">
      <c r="B42" s="40" t="s">
        <v>27</v>
      </c>
      <c r="C42" s="41">
        <f>VLOOKUP($D$35&amp;" - "&amp;B42,Planilha2!$A:$D,4,)</f>
        <v>0.05</v>
      </c>
      <c r="D42" s="38">
        <f>C42*$D$36</f>
        <v>0</v>
      </c>
    </row>
    <row r="43" spans="2:4" ht="18.75" x14ac:dyDescent="0.3">
      <c r="B43" s="40" t="s">
        <v>28</v>
      </c>
      <c r="C43" s="41">
        <f>VLOOKUP($D$35&amp;" - "&amp;B43,Planilha2!$A:$D,4,)</f>
        <v>0.2</v>
      </c>
      <c r="D43" s="38">
        <f>C43*$D$36</f>
        <v>0</v>
      </c>
    </row>
    <row r="44" spans="2:4" ht="18.75" x14ac:dyDescent="0.3">
      <c r="B44" s="40" t="s">
        <v>29</v>
      </c>
      <c r="C44" s="41">
        <f>VLOOKUP($D$35&amp;" - "&amp;B44,Planilha2!$A:$D,4,)</f>
        <v>0.1</v>
      </c>
      <c r="D44" s="38">
        <f>C44*$D$36</f>
        <v>0</v>
      </c>
    </row>
    <row r="45" spans="2:4" ht="17.25" thickBot="1" x14ac:dyDescent="0.35">
      <c r="B45" s="36"/>
      <c r="C45" s="37"/>
      <c r="D45" s="39">
        <f>SUM(D39:D44)</f>
        <v>0</v>
      </c>
    </row>
    <row r="49" hidden="1" x14ac:dyDescent="0.25"/>
    <row r="50" hidden="1" x14ac:dyDescent="0.25"/>
  </sheetData>
  <mergeCells count="11">
    <mergeCell ref="B17:D17"/>
    <mergeCell ref="B18:C18"/>
    <mergeCell ref="B19:C19"/>
    <mergeCell ref="B20:C20"/>
    <mergeCell ref="B21:C21"/>
    <mergeCell ref="B27:C27"/>
    <mergeCell ref="B11:D11"/>
    <mergeCell ref="B12:C12"/>
    <mergeCell ref="B13:C13"/>
    <mergeCell ref="B14:C14"/>
    <mergeCell ref="B24:C24"/>
  </mergeCells>
  <dataValidations count="1">
    <dataValidation type="list" allowBlank="1" showInputMessage="1" showErrorMessage="1" errorTitle="Perfil não correspondente" error="Escolha um dos perfis disponiveis na lista." promptTitle="Escolha seu Perfil" sqref="D35" xr:uid="{AA700479-D55A-4EB4-B168-D645908FCC7C}">
      <formula1>"Conservador,Moderado,Agressivo"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905F8-5F3F-4671-B49F-8A7F51C68134}">
  <dimension ref="A2:D26"/>
  <sheetViews>
    <sheetView workbookViewId="0">
      <selection activeCell="D13" sqref="D13"/>
    </sheetView>
  </sheetViews>
  <sheetFormatPr defaultRowHeight="15" x14ac:dyDescent="0.25"/>
  <cols>
    <col min="1" max="1" width="39.5703125" bestFit="1" customWidth="1"/>
    <col min="2" max="2" width="15.5703125" bestFit="1" customWidth="1"/>
    <col min="3" max="3" width="20.85546875" bestFit="1" customWidth="1"/>
    <col min="4" max="4" width="14.28515625" bestFit="1" customWidth="1"/>
  </cols>
  <sheetData>
    <row r="2" spans="1:4" ht="16.5" x14ac:dyDescent="0.3">
      <c r="A2" s="26" t="s">
        <v>33</v>
      </c>
      <c r="B2" s="26" t="s">
        <v>30</v>
      </c>
      <c r="C2" s="25" t="s">
        <v>21</v>
      </c>
      <c r="D2" s="26" t="s">
        <v>32</v>
      </c>
    </row>
    <row r="3" spans="1:4" ht="16.5" x14ac:dyDescent="0.3">
      <c r="A3" s="22" t="str">
        <f>B3&amp;" - "&amp;C3</f>
        <v>Conservador - PAPEL</v>
      </c>
      <c r="B3" s="27" t="s">
        <v>31</v>
      </c>
      <c r="C3" s="23" t="s">
        <v>24</v>
      </c>
      <c r="D3" s="24">
        <v>0.3</v>
      </c>
    </row>
    <row r="4" spans="1:4" ht="16.5" x14ac:dyDescent="0.3">
      <c r="A4" s="22" t="str">
        <f t="shared" ref="A4:A20" si="0">B4&amp;" - "&amp;C4</f>
        <v>Conservador - TIJOLO</v>
      </c>
      <c r="B4" s="27" t="s">
        <v>31</v>
      </c>
      <c r="C4" s="23" t="s">
        <v>25</v>
      </c>
      <c r="D4" s="24">
        <v>0.5</v>
      </c>
    </row>
    <row r="5" spans="1:4" ht="16.5" x14ac:dyDescent="0.3">
      <c r="A5" s="22" t="str">
        <f t="shared" si="0"/>
        <v>Conservador - HIBRIDOS</v>
      </c>
      <c r="B5" s="27" t="s">
        <v>31</v>
      </c>
      <c r="C5" s="23" t="s">
        <v>26</v>
      </c>
      <c r="D5" s="24">
        <v>0.1</v>
      </c>
    </row>
    <row r="6" spans="1:4" ht="16.5" x14ac:dyDescent="0.3">
      <c r="A6" s="22" t="str">
        <f t="shared" si="0"/>
        <v>Conservador - FOFs</v>
      </c>
      <c r="B6" s="27" t="s">
        <v>31</v>
      </c>
      <c r="C6" s="23" t="s">
        <v>27</v>
      </c>
      <c r="D6" s="24">
        <v>0.1</v>
      </c>
    </row>
    <row r="7" spans="1:4" ht="16.5" x14ac:dyDescent="0.3">
      <c r="A7" s="22" t="str">
        <f t="shared" si="0"/>
        <v>Conservador - DESENVOLVIMENTO</v>
      </c>
      <c r="B7" s="27" t="s">
        <v>31</v>
      </c>
      <c r="C7" s="23" t="s">
        <v>28</v>
      </c>
      <c r="D7" s="24">
        <v>0</v>
      </c>
    </row>
    <row r="8" spans="1:4" ht="16.5" x14ac:dyDescent="0.3">
      <c r="A8" s="22" t="str">
        <f t="shared" si="0"/>
        <v>Conservador - HOTELARIAS</v>
      </c>
      <c r="B8" s="27" t="s">
        <v>31</v>
      </c>
      <c r="C8" s="23" t="s">
        <v>29</v>
      </c>
      <c r="D8" s="24">
        <v>0</v>
      </c>
    </row>
    <row r="9" spans="1:4" ht="16.5" x14ac:dyDescent="0.3">
      <c r="A9" s="22" t="str">
        <f t="shared" si="0"/>
        <v>Moderado - PAPEL</v>
      </c>
      <c r="B9" s="27" t="s">
        <v>19</v>
      </c>
      <c r="C9" s="23" t="s">
        <v>24</v>
      </c>
      <c r="D9" s="28">
        <v>0.32</v>
      </c>
    </row>
    <row r="10" spans="1:4" ht="16.5" x14ac:dyDescent="0.3">
      <c r="A10" s="22" t="str">
        <f t="shared" si="0"/>
        <v>Moderado - TIJOLO</v>
      </c>
      <c r="B10" s="27" t="s">
        <v>19</v>
      </c>
      <c r="C10" s="23" t="s">
        <v>25</v>
      </c>
      <c r="D10" s="28">
        <v>0.35</v>
      </c>
    </row>
    <row r="11" spans="1:4" ht="16.5" x14ac:dyDescent="0.3">
      <c r="A11" s="22" t="str">
        <f t="shared" si="0"/>
        <v>Moderado - HIBRIDOS</v>
      </c>
      <c r="B11" s="27" t="s">
        <v>19</v>
      </c>
      <c r="C11" s="23" t="s">
        <v>26</v>
      </c>
      <c r="D11" s="28">
        <v>0.08</v>
      </c>
    </row>
    <row r="12" spans="1:4" ht="16.5" x14ac:dyDescent="0.3">
      <c r="A12" s="22" t="str">
        <f t="shared" si="0"/>
        <v>Moderado - FOFs</v>
      </c>
      <c r="B12" s="27" t="s">
        <v>19</v>
      </c>
      <c r="C12" s="23" t="s">
        <v>27</v>
      </c>
      <c r="D12" s="28">
        <v>0.05</v>
      </c>
    </row>
    <row r="13" spans="1:4" ht="16.5" x14ac:dyDescent="0.3">
      <c r="A13" s="22" t="str">
        <f t="shared" si="0"/>
        <v>Moderado - DESENVOLVIMENTO</v>
      </c>
      <c r="B13" s="27" t="s">
        <v>19</v>
      </c>
      <c r="C13" s="23" t="s">
        <v>28</v>
      </c>
      <c r="D13" s="28">
        <v>0.1</v>
      </c>
    </row>
    <row r="14" spans="1:4" ht="16.5" x14ac:dyDescent="0.3">
      <c r="A14" s="22" t="str">
        <f t="shared" si="0"/>
        <v>Moderado - HOTELARIAS</v>
      </c>
      <c r="B14" s="27" t="s">
        <v>19</v>
      </c>
      <c r="C14" s="23" t="s">
        <v>29</v>
      </c>
      <c r="D14" s="28">
        <v>0.1</v>
      </c>
    </row>
    <row r="15" spans="1:4" ht="16.5" x14ac:dyDescent="0.3">
      <c r="A15" s="22" t="str">
        <f t="shared" si="0"/>
        <v>Agressivo - PAPEL</v>
      </c>
      <c r="B15" s="27" t="s">
        <v>18</v>
      </c>
      <c r="C15" s="23" t="s">
        <v>24</v>
      </c>
      <c r="D15" s="28">
        <v>0.5</v>
      </c>
    </row>
    <row r="16" spans="1:4" ht="16.5" x14ac:dyDescent="0.3">
      <c r="A16" s="22" t="str">
        <f t="shared" si="0"/>
        <v>Agressivo - TIJOLO</v>
      </c>
      <c r="B16" s="27" t="s">
        <v>18</v>
      </c>
      <c r="C16" s="23" t="s">
        <v>25</v>
      </c>
      <c r="D16" s="28">
        <v>0.1</v>
      </c>
    </row>
    <row r="17" spans="1:4" ht="16.5" x14ac:dyDescent="0.3">
      <c r="A17" s="22" t="str">
        <f t="shared" si="0"/>
        <v>Agressivo - HIBRIDOS</v>
      </c>
      <c r="B17" s="27" t="s">
        <v>18</v>
      </c>
      <c r="C17" s="23" t="s">
        <v>26</v>
      </c>
      <c r="D17" s="28">
        <v>0.05</v>
      </c>
    </row>
    <row r="18" spans="1:4" ht="16.5" x14ac:dyDescent="0.3">
      <c r="A18" s="22" t="str">
        <f t="shared" si="0"/>
        <v>Agressivo - FOFs</v>
      </c>
      <c r="B18" s="27" t="s">
        <v>18</v>
      </c>
      <c r="C18" s="23" t="s">
        <v>27</v>
      </c>
      <c r="D18" s="28">
        <v>0.05</v>
      </c>
    </row>
    <row r="19" spans="1:4" ht="16.5" x14ac:dyDescent="0.3">
      <c r="A19" s="22" t="str">
        <f t="shared" si="0"/>
        <v>Agressivo - DESENVOLVIMENTO</v>
      </c>
      <c r="B19" s="27" t="s">
        <v>18</v>
      </c>
      <c r="C19" s="23" t="s">
        <v>28</v>
      </c>
      <c r="D19" s="28">
        <v>0.2</v>
      </c>
    </row>
    <row r="20" spans="1:4" ht="16.5" x14ac:dyDescent="0.3">
      <c r="A20" s="22" t="str">
        <f t="shared" si="0"/>
        <v>Agressivo - HOTELARIAS</v>
      </c>
      <c r="B20" s="27" t="s">
        <v>18</v>
      </c>
      <c r="C20" s="23" t="s">
        <v>29</v>
      </c>
      <c r="D20" s="28">
        <v>0.1</v>
      </c>
    </row>
    <row r="21" spans="1:4" ht="16.5" x14ac:dyDescent="0.25">
      <c r="C21" s="23"/>
    </row>
    <row r="22" spans="1:4" ht="16.5" x14ac:dyDescent="0.25">
      <c r="C22" s="23"/>
    </row>
    <row r="23" spans="1:4" ht="16.5" x14ac:dyDescent="0.25">
      <c r="C23" s="23"/>
    </row>
    <row r="24" spans="1:4" ht="16.5" x14ac:dyDescent="0.25">
      <c r="C24" s="23"/>
    </row>
    <row r="25" spans="1:4" ht="16.5" x14ac:dyDescent="0.25">
      <c r="C25" s="23"/>
    </row>
    <row r="26" spans="1:4" ht="16.5" x14ac:dyDescent="0.25">
      <c r="C26" s="23"/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FC73EC8-522A-45E5-AD34-0889AE750D2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9</vt:i4>
      </vt:variant>
    </vt:vector>
  </HeadingPairs>
  <TitlesOfParts>
    <vt:vector size="11" baseType="lpstr">
      <vt:lpstr>Planilha1</vt:lpstr>
      <vt:lpstr>Planilha2</vt:lpstr>
      <vt:lpstr>Aporte</vt:lpstr>
      <vt:lpstr>DividendoMensal</vt:lpstr>
      <vt:lpstr>PatrimonioAcumulado</vt:lpstr>
      <vt:lpstr>QntdAnos</vt:lpstr>
      <vt:lpstr>QntdFIIsComprado</vt:lpstr>
      <vt:lpstr>RendimentoCarteira</vt:lpstr>
      <vt:lpstr>Salario</vt:lpstr>
      <vt:lpstr>SugestaoInvestimento</vt:lpstr>
      <vt:lpstr>TaxaRendMensal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Davi Prates dos Santos</dc:creator>
  <cp:lastModifiedBy>Samuel Davi Prates dos Santos</cp:lastModifiedBy>
  <dcterms:created xsi:type="dcterms:W3CDTF">2026-02-15T02:46:17Z</dcterms:created>
  <dcterms:modified xsi:type="dcterms:W3CDTF">2026-02-15T07:58:43Z</dcterms:modified>
</cp:coreProperties>
</file>